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allfairy/Desktop/"/>
    </mc:Choice>
  </mc:AlternateContent>
  <xr:revisionPtr revIDLastSave="0" documentId="8_{F5083A2D-39A7-C142-9972-10BD41022A95}" xr6:coauthVersionLast="47" xr6:coauthVersionMax="47" xr10:uidLastSave="{00000000-0000-0000-0000-000000000000}"/>
  <bookViews>
    <workbookView xWindow="0" yWindow="0" windowWidth="28800" windowHeight="18000" xr2:uid="{60C2E2F6-AD98-4042-9BF5-DA3DB7B4AD4C}"/>
  </bookViews>
  <sheets>
    <sheet name="工作表1" sheetId="1" r:id="rId1"/>
  </sheets>
  <definedNames>
    <definedName name="_xlchart.v1.0" hidden="1">工作表1!$L$15</definedName>
    <definedName name="_xlchart.v1.1" hidden="1">工作表1!$L$2:$L$14</definedName>
    <definedName name="_xlchart.v1.2" hidden="1">工作表1!$L$15</definedName>
    <definedName name="_xlchart.v1.3" hidden="1">工作表1!$L$2:$L$14</definedName>
    <definedName name="_xlchart.v1.4" hidden="1">工作表1!$L$15</definedName>
    <definedName name="_xlchart.v1.5" hidden="1">工作表1!$L$2:$L$14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5" i="1"/>
  <c r="H17" i="1"/>
  <c r="D17" i="1"/>
  <c r="C17" i="1"/>
  <c r="J1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K3" i="1" a="1"/>
  <c r="K3" i="1" s="1"/>
  <c r="K4" i="1" a="1"/>
  <c r="K4" i="1"/>
  <c r="K5" i="1" a="1"/>
  <c r="K5" i="1"/>
  <c r="K6" i="1" a="1"/>
  <c r="K6" i="1" s="1"/>
  <c r="K7" i="1" a="1"/>
  <c r="K7" i="1" s="1"/>
  <c r="K8" i="1" a="1"/>
  <c r="K8" i="1"/>
  <c r="K9" i="1" a="1"/>
  <c r="K9" i="1" s="1"/>
  <c r="K10" i="1" a="1"/>
  <c r="K10" i="1" s="1"/>
  <c r="K11" i="1" a="1"/>
  <c r="K11" i="1" s="1"/>
  <c r="K12" i="1" a="1"/>
  <c r="K12" i="1"/>
  <c r="K13" i="1" a="1"/>
  <c r="K13" i="1" s="1"/>
  <c r="K14" i="1" a="1"/>
  <c r="K14" i="1" s="1"/>
  <c r="K15" i="1" a="1"/>
  <c r="K15" i="1" s="1"/>
  <c r="K2" i="1" a="1"/>
  <c r="K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<sst xmlns="http://schemas.openxmlformats.org/spreadsheetml/2006/main" count="34" uniqueCount="34">
  <si>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</si>
  <si>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</si>
  <si>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</si>
  <si>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</si>
  <si>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</si>
  <si>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</si>
  <si>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</si>
  <si>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</si>
  <si>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</si>
  <si>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</si>
  <si>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</si>
  <si>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</si>
  <si>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</si>
  <si>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</si>
  <si>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</si>
  <si>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</si>
  <si>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</si>
  <si>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</si>
  <si>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</si>
  <si>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</si>
  <si>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</si>
  <si>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</si>
  <si>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</si>
  <si>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</si>
  <si>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</si>
  <si>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</si>
  <si>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</si>
  <si>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</si>
  <si>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</si>
  <si>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</si>
  <si>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</si>
  <si>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</si>
  <si>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pass</t>
    <phoneticPr fontId="2" type="noConversion"/>
  </si>
  <si>
    <t>fail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</si>
</sst>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 altLang="zh-TW" sz="1400" b="0" i="0" u="none" strike="noStrike" baseline="0">
                <a:effectLst/>
              </a:rPr>
              <a:t>bar graph of the students' overall scores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工作表1!$B$2:$B$15</c:f>
              <c:strCache>
                <c:ptCount val="14"/>
                <c:pt idx="0">
                  <c:v>何大美</c:v>
                </c:pt>
                <c:pt idx="1">
                  <c:v>陳慢慢</c:v>
                </c:pt>
                <c:pt idx="2">
                  <c:v>黃阿坤</c:v>
                </c:pt>
                <c:pt idx="3">
                  <c:v>李大仁</c:v>
                </c:pt>
                <c:pt idx="4">
                  <c:v>陳小奇</c:v>
                </c:pt>
                <c:pt idx="5">
                  <c:v>羅小花</c:v>
                </c:pt>
                <c:pt idx="6">
                  <c:v>李小君</c:v>
                </c:pt>
                <c:pt idx="7">
                  <c:v>李大輝</c:v>
                </c:pt>
                <c:pt idx="8">
                  <c:v>白阿國</c:v>
                </c:pt>
                <c:pt idx="9">
                  <c:v>王小明</c:v>
                </c:pt>
                <c:pt idx="10">
                  <c:v>李大月</c:v>
                </c:pt>
                <c:pt idx="11">
                  <c:v>林大義</c:v>
                </c:pt>
                <c:pt idx="12">
                  <c:v>宋小倫</c:v>
                </c:pt>
                <c:pt idx="13">
                  <c:v>許亮亮</c:v>
                </c:pt>
              </c:strCache>
            </c:strRef>
          </c:cat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80.800000000000011</c:v>
                </c:pt>
                <c:pt idx="4">
                  <c:v>84.7</c:v>
                </c:pt>
                <c:pt idx="5">
                  <c:v>80.800000000000011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D-CC46-A40A-72C527219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838384"/>
        <c:axId val="588840112"/>
      </c:barChart>
      <c:catAx>
        <c:axId val="58883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88840112"/>
        <c:crosses val="autoZero"/>
        <c:auto val="1"/>
        <c:lblAlgn val="ctr"/>
        <c:lblOffset val="100"/>
        <c:noMultiLvlLbl val="0"/>
      </c:catAx>
      <c:valAx>
        <c:axId val="58884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8883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 altLang="zh-TW" sz="1400" b="0" i="0" u="none" strike="noStrike" baseline="0">
                <a:effectLst/>
              </a:rPr>
              <a:t> "pass" and "fail" grades of the students' overall score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工作表1!$O$5:$O$6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工作表1!$P$5:$P$6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D-5D4D-8609-4FAF131E34A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25</xdr:row>
      <xdr:rowOff>25400</xdr:rowOff>
    </xdr:from>
    <xdr:to>
      <xdr:col>11</xdr:col>
      <xdr:colOff>1174750</xdr:colOff>
      <xdr:row>46</xdr:row>
      <xdr:rowOff>31750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B551E4E0-6568-3B43-A6AA-3878072C5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12700</xdr:colOff>
      <xdr:row>14</xdr:row>
      <xdr:rowOff>158750</xdr:rowOff>
    </xdr:from>
    <xdr:to>
      <xdr:col>19</xdr:col>
      <xdr:colOff>203200</xdr:colOff>
      <xdr:row>32</xdr:row>
      <xdr:rowOff>50800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1D672D95-0707-8650-380D-156F2136A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0.08685</cdr:x>
      <cdr:y>0.30171</cdr:y>
    </cdr:from>
    <cdr:to>
      <cdr:x>0.26551</cdr:x>
      <cdr:y>0.57495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E72BCAD8-67F2-BEB2-5892-3A0D36BCAB1B}"/>
            </a:ext>
          </a:extLst>
        </cdr:cNvPr>
        <cdr:cNvSpPr txBox="1"/>
      </cdr:nvSpPr>
      <cdr:spPr>
        <a:xfrm xmlns:a="http://schemas.openxmlformats.org/drawingml/2006/main">
          <a:off x="444500" y="10096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TW" altLang="en-US" sz="1100"/>
        </a:p>
      </cdr:txBody>
    </cdr:sp>
  </cdr:relSizeAnchor>
  <cdr:relSizeAnchor xmlns:cdr="http://schemas.openxmlformats.org/drawingml/2006/chartDrawing">
    <cdr:from>
      <cdr:x>0.18114</cdr:x>
      <cdr:y>0.14611</cdr:y>
    </cdr:from>
    <cdr:to>
      <cdr:x>0.2866</cdr:x>
      <cdr:y>0.29791</cdr:y>
    </cdr:to>
    <cdr:sp macro="" textlink="">
      <cdr:nvSpPr>
        <cdr:cNvPr id="3" name="矩形圖說文字 2">
          <a:extLst xmlns:a="http://schemas.openxmlformats.org/drawingml/2006/main">
            <a:ext uri="{FF2B5EF4-FFF2-40B4-BE49-F238E27FC236}">
              <a16:creationId xmlns:a16="http://schemas.microsoft.com/office/drawing/2014/main" id="{C1F16455-360A-8072-0C6B-936654E645C5}"/>
            </a:ext>
          </a:extLst>
        </cdr:cNvPr>
        <cdr:cNvSpPr/>
      </cdr:nvSpPr>
      <cdr:spPr>
        <a:xfrm xmlns:a="http://schemas.openxmlformats.org/drawingml/2006/main" rot="16200000">
          <a:off x="942975" y="473075"/>
          <a:ext cx="508000" cy="539750"/>
        </a:xfrm>
        <a:prstGeom xmlns:a="http://schemas.openxmlformats.org/drawingml/2006/main" prst="wedgeRectCallout">
          <a:avLst>
            <a:gd name="adj1" fmla="val -25181"/>
            <a:gd name="adj2" fmla="val 117819"/>
          </a:avLst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zh-TW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0.18114</cdr:x>
      <cdr:y>0.14778</cdr:y>
    </cdr:from>
    <cdr:to>
      <cdr:x>0.28923</cdr:x>
      <cdr:y>0.31689</cdr:y>
    </cdr:to>
    <cdr:sp macro="" textlink="">
      <cdr:nvSpPr>
        <cdr:cNvPr id="4" name="矩形圖說文字 3">
          <a:extLst xmlns:a="http://schemas.openxmlformats.org/drawingml/2006/main">
            <a:ext uri="{FF2B5EF4-FFF2-40B4-BE49-F238E27FC236}">
              <a16:creationId xmlns:a16="http://schemas.microsoft.com/office/drawing/2014/main" id="{2109BD8D-94A2-76C7-E938-68651398C3CA}"/>
            </a:ext>
          </a:extLst>
        </cdr:cNvPr>
        <cdr:cNvSpPr/>
      </cdr:nvSpPr>
      <cdr:spPr>
        <a:xfrm xmlns:a="http://schemas.openxmlformats.org/drawingml/2006/main">
          <a:off x="927100" y="494538"/>
          <a:ext cx="553212" cy="565912"/>
        </a:xfrm>
        <a:prstGeom xmlns:a="http://schemas.openxmlformats.org/drawingml/2006/main" prst="wedgeRectCallout">
          <a:avLst>
            <a:gd name="adj1" fmla="val 90962"/>
            <a:gd name="adj2" fmla="val 22125"/>
          </a:avLst>
        </a:prstGeom>
        <a:ln xmlns:a="http://schemas.openxmlformats.org/drawingml/2006/main">
          <a:solidFill>
            <a:schemeClr val="bg2">
              <a:lumMod val="50000"/>
            </a:schemeClr>
          </a:solidFill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altLang="zh-TW" sz="1200"/>
            <a:t>fail</a:t>
          </a:r>
        </a:p>
        <a:p xmlns:a="http://schemas.openxmlformats.org/drawingml/2006/main">
          <a:r>
            <a:rPr lang="en-US" altLang="zh-TW" sz="1200"/>
            <a:t>14%</a:t>
          </a:r>
          <a:endParaRPr lang="zh-TW" sz="1200"/>
        </a:p>
      </cdr:txBody>
    </cdr:sp>
  </cdr:relSizeAnchor>
  <cdr:relSizeAnchor xmlns:cdr="http://schemas.openxmlformats.org/drawingml/2006/chartDrawing">
    <cdr:from>
      <cdr:x>0.75434</cdr:x>
      <cdr:y>0.72865</cdr:y>
    </cdr:from>
    <cdr:to>
      <cdr:x>0.86243</cdr:x>
      <cdr:y>0.89776</cdr:y>
    </cdr:to>
    <cdr:sp macro="" textlink="">
      <cdr:nvSpPr>
        <cdr:cNvPr id="5" name="矩形圖說文字 4">
          <a:extLst xmlns:a="http://schemas.openxmlformats.org/drawingml/2006/main">
            <a:ext uri="{FF2B5EF4-FFF2-40B4-BE49-F238E27FC236}">
              <a16:creationId xmlns:a16="http://schemas.microsoft.com/office/drawing/2014/main" id="{C638BAEC-E8ED-19AE-9F59-A4C5504B81A1}"/>
            </a:ext>
          </a:extLst>
        </cdr:cNvPr>
        <cdr:cNvSpPr/>
      </cdr:nvSpPr>
      <cdr:spPr>
        <a:xfrm xmlns:a="http://schemas.openxmlformats.org/drawingml/2006/main">
          <a:off x="3860800" y="2438400"/>
          <a:ext cx="553212" cy="565912"/>
        </a:xfrm>
        <a:prstGeom xmlns:a="http://schemas.openxmlformats.org/drawingml/2006/main" prst="wedgeRectCallout">
          <a:avLst>
            <a:gd name="adj1" fmla="val -120241"/>
            <a:gd name="adj2" fmla="val -60909"/>
          </a:avLst>
        </a:prstGeom>
        <a:ln xmlns:a="http://schemas.openxmlformats.org/drawingml/2006/main">
          <a:solidFill>
            <a:schemeClr val="bg2">
              <a:lumMod val="50000"/>
            </a:schemeClr>
          </a:solidFill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1200"/>
            <a:t>pass</a:t>
          </a:r>
        </a:p>
        <a:p xmlns:a="http://schemas.openxmlformats.org/drawingml/2006/main">
          <a:r>
            <a:rPr lang="en-US" altLang="zh-TW" sz="1200"/>
            <a:t>86%</a:t>
          </a:r>
          <a:endParaRPr lang="zh-TW" sz="1200"/>
        </a:p>
      </cdr:txBody>
    </cdr:sp>
  </cdr:relSizeAnchor>
</c:userShape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P24"/>
  <sheetViews>
    <sheetView tabSelected="1" topLeftCell="E1" workbookViewId="0">
      <selection activeCell="V21" sqref="V21"/>
    </sheetView>
  </sheetViews>
  <sheetFormatPr baseColWidth="10" defaultColWidth="8.83203125" defaultRowHeight="15"/>
  <cols>
    <col min="3" max="4" width="13" bestFit="1" customWidth="1"/>
    <col min="8" max="8" width="18.6640625" bestFit="1" customWidth="1"/>
    <col min="10" max="10" width="16.1640625" bestFit="1" customWidth="1"/>
    <col min="11" max="11" width="24.1640625" style="5" customWidth="1"/>
    <col min="12" max="12" width="23" style="5" customWidth="1"/>
    <col min="14" max="14" width="11.6640625" customWidth="1"/>
  </cols>
  <sheetData>
    <row r="1" spans="1:1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3" t="s">
        <v>24</v>
      </c>
      <c r="L1" s="3" t="s">
        <v>25</v>
      </c>
    </row>
    <row r="2" spans="1:16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>
        <f>SUM(C2:G2)*0.1+I2*0.5</f>
        <v>91.7</v>
      </c>
      <c r="K2" s="5" t="str" cm="1">
        <f t="array" ref="K2">_xlfn.IFS(J2&gt;90,"A",J2&gt;80,"B",J2&gt;70,"C",J2&gt;60,"D",J2&lt;60,"F")</f>
        <v>A</v>
      </c>
      <c r="L2" s="5" t="str">
        <f xml:space="preserve"> IF(J2&gt;60,"pass","fail")</f>
        <v>pass</v>
      </c>
    </row>
    <row r="3" spans="1:16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0">AVERAGE(C3:G3)</f>
        <v>86</v>
      </c>
      <c r="I3" s="1">
        <v>94</v>
      </c>
      <c r="J3">
        <f t="shared" ref="J3:J15" si="1">SUM(C3:G3)*0.1+I3*0.5</f>
        <v>90</v>
      </c>
      <c r="K3" s="5" t="str" cm="1">
        <f t="array" ref="K3">_xlfn.IFS(J3&gt;90,"A",J3&gt;80,"B",J3&gt;70,"C",J3&gt;60,"D",J3&lt;60,"F")</f>
        <v>B</v>
      </c>
      <c r="L3" s="5" t="str">
        <f t="shared" ref="L3:L15" si="2" xml:space="preserve"> IF(J3&gt;60,"pass","fail")</f>
        <v>pass</v>
      </c>
    </row>
    <row r="4" spans="1:16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>
        <f t="shared" si="1"/>
        <v>81.2</v>
      </c>
      <c r="K4" s="5" t="str" cm="1">
        <f t="array" ref="K4">_xlfn.IFS(J4&gt;90,"A",J4&gt;80,"B",J4&gt;70,"C",J4&gt;60,"D",J4&lt;60,"F")</f>
        <v>B</v>
      </c>
      <c r="L4" s="5" t="str">
        <f t="shared" si="2"/>
        <v>pass</v>
      </c>
    </row>
    <row r="5" spans="1:16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81.599999999999994</v>
      </c>
      <c r="I5" s="1">
        <v>80</v>
      </c>
      <c r="J5">
        <f t="shared" si="1"/>
        <v>80.800000000000011</v>
      </c>
      <c r="K5" s="5" t="str" cm="1">
        <f t="array" ref="K5">_xlfn.IFS(J5&gt;90,"A",J5&gt;80,"B",J5&gt;70,"C",J5&gt;60,"D",J5&lt;60,"F")</f>
        <v>B</v>
      </c>
      <c r="L5" s="5" t="str">
        <f t="shared" si="2"/>
        <v>pass</v>
      </c>
      <c r="O5" t="s">
        <v>32</v>
      </c>
      <c r="P5">
        <f>COUNTIF(L2:L15,"pass")</f>
        <v>12</v>
      </c>
    </row>
    <row r="6" spans="1:16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81.400000000000006</v>
      </c>
      <c r="I6" s="1">
        <v>88</v>
      </c>
      <c r="J6">
        <f t="shared" si="1"/>
        <v>84.7</v>
      </c>
      <c r="K6" s="5" t="str" cm="1">
        <f t="array" ref="K6">_xlfn.IFS(J6&gt;90,"A",J6&gt;80,"B",J6&gt;70,"C",J6&gt;60,"D",J6&lt;60,"F")</f>
        <v>B</v>
      </c>
      <c r="L6" s="5" t="str">
        <f t="shared" si="2"/>
        <v>pass</v>
      </c>
      <c r="O6" t="s">
        <v>33</v>
      </c>
      <c r="P6">
        <f>COUNTIF(L2:L15,"fail")</f>
        <v>2</v>
      </c>
    </row>
    <row r="7" spans="1:16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80.599999999999994</v>
      </c>
      <c r="I7" s="1">
        <v>81</v>
      </c>
      <c r="J7">
        <f t="shared" si="1"/>
        <v>80.800000000000011</v>
      </c>
      <c r="K7" s="5" t="str" cm="1">
        <f t="array" ref="K7">_xlfn.IFS(J7&gt;90,"A",J7&gt;80,"B",J7&gt;70,"C",J7&gt;60,"D",J7&lt;60,"F")</f>
        <v>B</v>
      </c>
      <c r="L7" s="5" t="str">
        <f t="shared" si="2"/>
        <v>pass</v>
      </c>
    </row>
    <row r="8" spans="1:16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>
        <f t="shared" si="1"/>
        <v>77.900000000000006</v>
      </c>
      <c r="K8" s="5" t="str" cm="1">
        <f t="array" ref="K8">_xlfn.IFS(J8&gt;90,"A",J8&gt;80,"B",J8&gt;70,"C",J8&gt;60,"D",J8&lt;60,"F")</f>
        <v>C</v>
      </c>
      <c r="L8" s="5" t="str">
        <f t="shared" si="2"/>
        <v>pass</v>
      </c>
    </row>
    <row r="9" spans="1:16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75.400000000000006</v>
      </c>
      <c r="I9" s="1">
        <v>73</v>
      </c>
      <c r="J9">
        <f t="shared" si="1"/>
        <v>74.2</v>
      </c>
      <c r="K9" s="5" t="str" cm="1">
        <f t="array" ref="K9">_xlfn.IFS(J9&gt;90,"A",J9&gt;80,"B",J9&gt;70,"C",J9&gt;60,"D",J9&lt;60,"F")</f>
        <v>C</v>
      </c>
      <c r="L9" s="5" t="str">
        <f t="shared" si="2"/>
        <v>pass</v>
      </c>
    </row>
    <row r="10" spans="1:16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73.400000000000006</v>
      </c>
      <c r="I10" s="1">
        <v>77</v>
      </c>
      <c r="J10">
        <f t="shared" si="1"/>
        <v>75.2</v>
      </c>
      <c r="K10" s="5" t="str" cm="1">
        <f t="array" ref="K10">_xlfn.IFS(J10&gt;90,"A",J10&gt;80,"B",J10&gt;70,"C",J10&gt;60,"D",J10&lt;60,"F")</f>
        <v>C</v>
      </c>
      <c r="L10" s="5" t="str">
        <f t="shared" si="2"/>
        <v>pass</v>
      </c>
    </row>
    <row r="11" spans="1:16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>
        <f t="shared" si="1"/>
        <v>77.599999999999994</v>
      </c>
      <c r="K11" s="5" t="str" cm="1">
        <f t="array" ref="K11">_xlfn.IFS(J11&gt;90,"A",J11&gt;80,"B",J11&gt;70,"C",J11&gt;60,"D",J11&lt;60,"F")</f>
        <v>C</v>
      </c>
      <c r="L11" s="5" t="str">
        <f t="shared" si="2"/>
        <v>pass</v>
      </c>
    </row>
    <row r="12" spans="1:16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0"/>
        <v>73.2</v>
      </c>
      <c r="I12" s="1">
        <v>88</v>
      </c>
      <c r="J12">
        <f t="shared" si="1"/>
        <v>80.599999999999994</v>
      </c>
      <c r="K12" s="5" t="str" cm="1">
        <f t="array" ref="K12">_xlfn.IFS(J12&gt;90,"A",J12&gt;80,"B",J12&gt;70,"C",J12&gt;60,"D",J12&lt;60,"F")</f>
        <v>B</v>
      </c>
      <c r="L12" s="5" t="str">
        <f t="shared" si="2"/>
        <v>pass</v>
      </c>
    </row>
    <row r="13" spans="1:16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>
        <f t="shared" si="1"/>
        <v>59</v>
      </c>
      <c r="K13" s="5" t="str" cm="1">
        <f t="array" ref="K13">_xlfn.IFS(J13&gt;90,"A",J13&gt;80,"B",J13&gt;70,"C",J13&gt;60,"D",J13&lt;60,"F")</f>
        <v>F</v>
      </c>
      <c r="L13" s="5" t="str">
        <f t="shared" si="2"/>
        <v>fail</v>
      </c>
    </row>
    <row r="14" spans="1:16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>
        <f t="shared" si="1"/>
        <v>66.900000000000006</v>
      </c>
      <c r="K14" s="5" t="str" cm="1">
        <f t="array" ref="K14">_xlfn.IFS(J14&gt;90,"A",J14&gt;80,"B",J14&gt;70,"C",J14&gt;60,"D",J14&lt;60,"F")</f>
        <v>D</v>
      </c>
      <c r="L14" s="5" t="str">
        <f t="shared" si="2"/>
        <v>pass</v>
      </c>
    </row>
    <row r="15" spans="1:16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>
        <f t="shared" si="1"/>
        <v>55.6</v>
      </c>
      <c r="K15" s="5" t="str" cm="1">
        <f t="array" ref="K15">_xlfn.IFS(J15&gt;90,"A",J15&gt;80,"B",J15&gt;70,"C",J15&gt;60,"D",J15&lt;60,"F")</f>
        <v>F</v>
      </c>
      <c r="L15" s="5" t="str">
        <f t="shared" si="2"/>
        <v>fail</v>
      </c>
    </row>
    <row r="16" spans="1:16" ht="16">
      <c r="C16" s="4" t="s">
        <v>27</v>
      </c>
      <c r="D16" s="4" t="s">
        <v>28</v>
      </c>
      <c r="H16" s="4" t="s">
        <v>29</v>
      </c>
      <c r="J16" s="4" t="s">
        <v>26</v>
      </c>
      <c r="L16" s="6" t="s">
        <v>31</v>
      </c>
    </row>
    <row r="17" spans="3:10">
      <c r="C17">
        <f>MAX(C2:C15)</f>
        <v>98</v>
      </c>
      <c r="D17">
        <f>LARGE(D2:D15,2)</f>
        <v>92</v>
      </c>
      <c r="H17" s="1">
        <f>COUNTIF(H2:H15,"&lt;80")</f>
        <v>8</v>
      </c>
      <c r="J17">
        <f>AVERAGE(J2:J15)</f>
        <v>76.871428571428581</v>
      </c>
    </row>
    <row r="24" spans="3:10" ht="16">
      <c r="J24" s="4" t="s">
        <v>30</v>
      </c>
    </row>
  </sheetData>
  <phoneticPr fontId="2" type="noConversion"/>
  <conditionalFormatting sqref="L2:L15">
    <cfRule type="containsText" dxfId="1" priority="3" operator="containsText" text="pass">
      <formula>NOT(ISERROR(SEARCH("pass",L2)))</formula>
    </cfRule>
  </conditionalFormatting>
  <conditionalFormatting sqref="L19:L1048576 L1:L17">
    <cfRule type="containsText" dxfId="0" priority="2" operator="containsText" text="fail">
      <formula>NOT(ISERROR(SEARCH("fail",L1)))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Microsoft Office User</cp:lastModifiedBy>
  <dcterms:created xsi:type="dcterms:W3CDTF">2023-10-19T05:27:10Z</dcterms:created>
  <dcterms:modified xsi:type="dcterms:W3CDTF">2023-10-23T08:20:36Z</dcterms:modified>
</cp:coreProperties>
</file>